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rderBook" sheetId="3" state="visible" r:id="rId3"/>
    <sheet xmlns:r="http://schemas.openxmlformats.org/officeDocument/2006/relationships" name="Actuals" sheetId="4" state="visible" r:id="rId4"/>
    <sheet xmlns:r="http://schemas.openxmlformats.org/officeDocument/2006/relationships" name="NOL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000"/>
    <numFmt numFmtId="166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color rgb="000000CC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4" fontId="4" fillId="3" borderId="1" pivotButton="0" quotePrefix="0" xfId="0"/>
    <xf numFmtId="0" fontId="5" fillId="0" borderId="0" pivotButton="0" quotePrefix="0" xfId="0"/>
    <xf numFmtId="164" fontId="4" fillId="3" borderId="1" pivotButton="0" quotePrefix="0" xfId="0"/>
    <xf numFmtId="165" fontId="4" fillId="3" borderId="1" pivotButton="0" quotePrefix="0" xfId="0"/>
    <xf numFmtId="4" fontId="0" fillId="0" borderId="0" pivotButton="0" quotePrefix="0" xfId="0"/>
    <xf numFmtId="4" fontId="3" fillId="0" borderId="0" pivotButton="0" quotePrefix="0" xfId="0"/>
    <xf numFmtId="164" fontId="0" fillId="0" borderId="0" pivotButton="0" quotePrefix="0" xfId="0"/>
    <xf numFmtId="4" fontId="3" fillId="4" borderId="0" pivotButton="0" quotePrefix="0" xfId="0"/>
    <xf numFmtId="166" fontId="0" fillId="0" borderId="0" pivotButton="0" quotePrefix="0" xfId="0"/>
    <xf numFmtId="165" fontId="0" fillId="0" borderId="0" pivotButton="0" quotePrefix="0" xfId="0"/>
    <xf numFmtId="3" fontId="3" fillId="4" borderId="0" pivotButton="0" quotePrefix="0" xfId="0"/>
    <xf numFmtId="3" fontId="0" fillId="0" borderId="0" pivotButton="0" quotePrefix="0" xfId="0"/>
    <xf numFmtId="164" fontId="3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Mirae Corporation (025560) — DCF</t>
        </is>
      </c>
    </row>
    <row r="3">
      <c r="A3" t="inlineStr">
        <is>
          <t>GENERATED FILE — do not hand-edit. Re-run build_dcf_xlsx.py after any new DART filing.</t>
        </is>
      </c>
    </row>
    <row r="4">
      <c r="A4" t="inlineStr">
        <is>
          <t>Contracts and quarterly actuals are read live from index.html, so this workbook cannot drift from the dashboard.</t>
        </is>
      </c>
    </row>
    <row r="5">
      <c r="A5" t="inlineStr"/>
    </row>
    <row r="6">
      <c r="A6" t="inlineStr">
        <is>
          <t>Edit only the BLUE cells on the Assumptions sheet. Everything else is a formula.</t>
        </is>
      </c>
    </row>
    <row r="7">
      <c r="A7" t="inlineStr"/>
    </row>
    <row r="8">
      <c r="A8" t="inlineStr">
        <is>
          <t>WHAT IS MEASURED (from DART, FY25 사업보고서 rcept 20260319001166):</t>
        </is>
      </c>
    </row>
    <row r="9">
      <c r="A9" t="inlineStr">
        <is>
          <t xml:space="preserve">   Order book: 22 contracts, reconciled against all 29 단일판매·공급계약 filings. Total 115.48bn.</t>
        </is>
      </c>
    </row>
    <row r="10">
      <c r="A10" t="inlineStr">
        <is>
          <t xml:space="preserve">   Quarterly segment revenue Q1'25..Q1'26; FY25 consolidated BS + CF; note 30 tax detail.</t>
        </is>
      </c>
    </row>
    <row r="11">
      <c r="A11" t="inlineStr"/>
    </row>
    <row r="12">
      <c r="A12" t="inlineStr">
        <is>
          <t>WHAT IS ASSUMED (and therefore where the answer actually comes from):</t>
        </is>
      </c>
    </row>
    <row r="13">
      <c r="A13" t="inlineStr">
        <is>
          <t xml:space="preserve">   FY2027+ revenue growth. The order book runs dry after Q3'27 — only 3.58bn is contracted beyond FY26.</t>
        </is>
      </c>
    </row>
    <row r="14">
      <c r="A14" t="inlineStr">
        <is>
          <t xml:space="preserve">   WACC and terminal growth. Terminal value will dominate; see the Sensitivity sheet before believing any</t>
        </is>
      </c>
    </row>
    <row r="15">
      <c r="A15" t="inlineStr">
        <is>
          <t xml:space="preserve">   single fair-value number. With 5 quarters of actuals on a company that just 5x'd quarterly revenue,</t>
        </is>
      </c>
    </row>
    <row r="16">
      <c r="A16" t="inlineStr">
        <is>
          <t xml:space="preserve">   this model is a disciplined way to express assumptions — not a measurement of intrinsic value.</t>
        </is>
      </c>
    </row>
    <row r="17">
      <c r="A17" t="inlineStr"/>
    </row>
    <row r="18">
      <c r="A18" t="inlineStr">
        <is>
          <t>THREE THINGS THAT DRIVE THIS MODEL MORE THAN THE REVENUE LINE:</t>
        </is>
      </c>
    </row>
    <row r="19">
      <c r="A19" t="inlineStr"/>
    </row>
    <row r="20">
      <c r="A20" t="inlineStr">
        <is>
          <t>1. WORKING CAPITAL. FY25 NWC = AR 12.08 + Inv 34.64 - AP 9.37 = 37.35bn on 50.78bn revenue (~74%).</t>
        </is>
      </c>
    </row>
    <row r="21">
      <c r="A21" t="inlineStr">
        <is>
          <t xml:space="preserve">   FY24 was 23.26bn, so dWC consumed 14.1bn of cash in a year Mirae earned 9.83bn pretax — cash FELL</t>
        </is>
      </c>
    </row>
    <row r="22">
      <c r="A22" t="inlineStr">
        <is>
          <t xml:space="preserve">   13.50 -&gt; 10.87. Inventory nearly doubled. If NWC stays ~74% of revenue, a revenue ramp to ~115bn implies</t>
        </is>
      </c>
    </row>
    <row r="23">
      <c r="A23" t="inlineStr">
        <is>
          <t xml:space="preserve">   a further ~48bn WC build, which would swamp EBIT and make FCF deeply negative. THIS is the swing factor.</t>
        </is>
      </c>
    </row>
    <row r="24">
      <c r="A24" t="inlineStr">
        <is>
          <t xml:space="preserve">   The NWC% input is the single most consequential cell in the workbook.</t>
        </is>
      </c>
    </row>
    <row r="25">
      <c r="A25" t="inlineStr"/>
    </row>
    <row r="26">
      <c r="A26" t="inlineStr">
        <is>
          <t>2. TAX. Mirae has 65.4bn of unused tax losses and pays ~no cash tax (FY25 current tax 22.3m on 9.83bn</t>
        </is>
      </c>
    </row>
    <row r="27">
      <c r="A27" t="inlineStr">
        <is>
          <t xml:space="preserve">   pretax). SME status holds a 100% offset (법인세법 제13조①), and even a threshold breach buys a 7-year</t>
        </is>
      </c>
    </row>
    <row r="28">
      <c r="A28" t="inlineStr">
        <is>
          <t xml:space="preserve">   grace period (KOSPI-listed). So the cap is not the constraint — EXPIRY is: 29.6bn dies within 2 years.</t>
        </is>
      </c>
    </row>
    <row r="29">
      <c r="A29" t="inlineStr">
        <is>
          <t xml:space="preserve">   Modelled as an expiry-ordered waterfall on the NOL sheet, not a flat rate.</t>
        </is>
      </c>
    </row>
    <row r="30">
      <c r="A30" t="inlineStr"/>
    </row>
    <row r="31">
      <c r="A31" t="inlineStr">
        <is>
          <t>3. NON-OPERATING ASSETS. 53.25bn of 투자부동산 (investment property) — 35% of total assets, reclassified</t>
        </is>
      </c>
    </row>
    <row r="32">
      <c r="A32" t="inlineStr">
        <is>
          <t xml:space="preserve">   from PP&amp;E in FY25. It generates rent, not equipment revenue, so it is added to EV as a non-operating</t>
        </is>
      </c>
    </row>
    <row r="33">
      <c r="A33" t="inlineStr">
        <is>
          <t xml:space="preserve">   asset at book rather than being driven by the forecast. Book value is a floor-ish proxy, not a valuation.</t>
        </is>
      </c>
    </row>
    <row r="34">
      <c r="A34" t="inlineStr"/>
    </row>
    <row r="35">
      <c r="A35" t="inlineStr">
        <is>
          <t>KNOWN GAPS — read before relying on this:</t>
        </is>
      </c>
    </row>
    <row r="36">
      <c r="A36" t="inlineStr">
        <is>
          <t xml:space="preserve">   - Only FY25/FY24 balance sheet. No quarterly WC history, so the WC model is anchored on ONE year of</t>
        </is>
      </c>
    </row>
    <row r="37">
      <c r="A37" t="inlineStr">
        <is>
          <t xml:space="preserve">     delta. That is thin for the variable that matters most.</t>
        </is>
      </c>
    </row>
    <row r="38">
      <c r="A38" t="inlineStr">
        <is>
          <t xml:space="preserve">   - 7.46bn of 유동성전환사채 (convertible bonds) sits in net debt but its dilution is NOT in the share</t>
        </is>
      </c>
    </row>
    <row r="39">
      <c r="A39" t="inlineStr">
        <is>
          <t xml:space="preserve">     count. Conversion terms not yet pulled. Equity value per share is overstated if they convert.</t>
        </is>
      </c>
    </row>
    <row r="40">
      <c r="A40" t="inlineStr">
        <is>
          <t xml:space="preserve">   - Share count 27,778,678 assumes the 2,324,538-share placement closes 2026-07-27. It had not as of</t>
        </is>
      </c>
    </row>
    <row r="41">
      <c r="A41" t="inlineStr">
        <is>
          <t xml:space="preserve">     2026-07-16 and has been pushed twice.</t>
        </is>
      </c>
    </row>
    <row r="42">
      <c r="A42" t="inlineStr">
        <is>
          <t xml:space="preserve">   - 계약기간 종료일 is a deliver-BY deadline, not a delivery date. Mirae ships early (Q1'26 booked 20.7bn</t>
        </is>
      </c>
    </row>
    <row r="43">
      <c r="A43" t="inlineStr">
        <is>
          <t xml:space="preserve">     of revenue against ZERO order-book deadlines), so delivery-year bucketing systematically LAGS revenue.</t>
        </is>
      </c>
    </row>
    <row r="44">
      <c r="A44" t="inlineStr">
        <is>
          <t xml:space="preserve">   - Cost of equity / WACC is an input, not derived. No beta study was done.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74" customWidth="1" min="4" max="4"/>
  </cols>
  <sheetData>
    <row r="1">
      <c r="A1" s="2" t="inlineStr">
        <is>
          <t>ASSUMPTIONS — edit blue cells only</t>
        </is>
      </c>
      <c r="B1" s="3" t="n"/>
      <c r="C1" s="3" t="n"/>
      <c r="D1" s="3" t="n"/>
      <c r="E1" s="3" t="n"/>
    </row>
    <row r="3">
      <c r="A3" s="4" t="inlineStr">
        <is>
          <t>OPERATING</t>
        </is>
      </c>
    </row>
    <row r="4">
      <c r="A4" t="inlineStr">
        <is>
          <t>Base / sub-threshold ATE (bn/qtr)</t>
        </is>
      </c>
      <c r="B4" s="5" t="n">
        <v>5</v>
      </c>
      <c r="D4" s="6" t="inlineStr">
        <is>
          <t>Not disclosed. Ran ~4.6bn/qtr in H1'25 before any big contract delivered.</t>
        </is>
      </c>
    </row>
    <row r="5">
      <c r="A5" t="inlineStr">
        <is>
          <t>MAI revenue (bn/qtr)</t>
        </is>
      </c>
      <c r="B5" s="5" t="n">
        <v>2</v>
      </c>
      <c r="D5" s="6" t="inlineStr">
        <is>
          <t>Volatile 0.85-3.39, avg ~1.8. Model absolute, NOT % of revenue — it is independent of ATE.</t>
        </is>
      </c>
    </row>
    <row r="6">
      <c r="A6" t="inlineStr">
        <is>
          <t>Gross margin %</t>
        </is>
      </c>
      <c r="B6" s="7" t="n">
        <v>0.42</v>
      </c>
      <c r="D6" s="6" t="inlineStr">
        <is>
          <t>Actuals swing 34.6-56.7% with mix. FY25 blended ~41%.</t>
        </is>
      </c>
    </row>
    <row r="7">
      <c r="A7" t="inlineStr">
        <is>
          <t>SG&amp;A (bn/qtr)</t>
        </is>
      </c>
      <c r="B7" s="5" t="n">
        <v>2.4</v>
      </c>
      <c r="D7" s="6" t="inlineStr">
        <is>
          <t>~FIXED: ran 2.3bn on both a 4.75bn and a 22.6bn revenue quarter. Operating leverage is the thesis.</t>
        </is>
      </c>
    </row>
    <row r="8">
      <c r="A8" t="inlineStr">
        <is>
          <t>R&amp;D (bn/qtr)</t>
        </is>
      </c>
      <c r="B8" s="5" t="n">
        <v>0.12</v>
      </c>
      <c r="D8" s="6" t="inlineStr">
        <is>
          <t>Also ~fixed, small.</t>
        </is>
      </c>
    </row>
    <row r="9">
      <c r="A9" t="inlineStr">
        <is>
          <t>Revenue growth FY2027+ %</t>
        </is>
      </c>
      <c r="B9" s="7" t="n">
        <v>0.1</v>
      </c>
      <c r="D9" s="6" t="inlineStr">
        <is>
          <t>PURE ASSUMPTION. Order book is dry after Q3'27 (only 3.58bn contracted). Drives most of the answer.</t>
        </is>
      </c>
    </row>
    <row r="11">
      <c r="A11" s="4" t="inlineStr">
        <is>
          <t>WORKING CAPITAL  &lt;-- the most consequential input</t>
        </is>
      </c>
    </row>
    <row r="12">
      <c r="A12" t="inlineStr">
        <is>
          <t>NWC as % of revenue</t>
        </is>
      </c>
      <c r="B12" s="7" t="n">
        <v>0.735</v>
      </c>
      <c r="D12" s="6" t="inlineStr">
        <is>
          <t>FY25 actual: 37.35/50.78 = 73.6%. Set lower only if you believe the ramp brings WC efficiency.</t>
        </is>
      </c>
    </row>
    <row r="14">
      <c r="A14" s="4" t="inlineStr">
        <is>
          <t>CAPITAL / VALUATION</t>
        </is>
      </c>
    </row>
    <row r="15">
      <c r="A15" t="inlineStr">
        <is>
          <t>Capex (bn/yr)</t>
        </is>
      </c>
      <c r="B15" s="5" t="n">
        <v>0.3</v>
      </c>
      <c r="D15" s="6" t="inlineStr">
        <is>
          <t>FY25 actual only 0.084bn (&lt;0.2% of revenue). Asset-light. Raised slightly for a ramp.</t>
        </is>
      </c>
    </row>
    <row r="16">
      <c r="A16" t="inlineStr">
        <is>
          <t>D&amp;A (bn/yr)</t>
        </is>
      </c>
      <c r="B16" s="5" t="n">
        <v>0.85</v>
      </c>
      <c r="D16" s="6" t="inlineStr">
        <is>
          <t>FY25: 0.817 depreciation + 0.024 amortisation.</t>
        </is>
      </c>
    </row>
    <row r="17">
      <c r="A17" t="inlineStr">
        <is>
          <t>WACC</t>
        </is>
      </c>
      <c r="B17" s="7" t="n">
        <v>0.12</v>
      </c>
      <c r="D17" s="6" t="inlineStr">
        <is>
          <t>INPUT, not derived. No beta study done. See Sensitivity.</t>
        </is>
      </c>
    </row>
    <row r="18">
      <c r="A18" t="inlineStr">
        <is>
          <t>Terminal growth</t>
        </is>
      </c>
      <c r="B18" s="7" t="n">
        <v>0.02</v>
      </c>
      <c r="D18" s="6" t="inlineStr">
        <is>
          <t>TV will dominate EV — check the Sensitivity sheet.</t>
        </is>
      </c>
    </row>
    <row r="20">
      <c r="A20" s="4" t="inlineStr">
        <is>
          <t>TAX</t>
        </is>
      </c>
    </row>
    <row r="21">
      <c r="A21" t="inlineStr">
        <is>
          <t>Statutory rate</t>
        </is>
      </c>
      <c r="B21" s="7" t="n">
        <v>0.209</v>
      </c>
      <c r="D21" s="6" t="inlineStr">
        <is>
          <t>2.05bn / 9.83bn per note 30-(2).</t>
        </is>
      </c>
    </row>
    <row r="22">
      <c r="A22" t="inlineStr">
        <is>
          <t>NOL offset % of taxable income</t>
        </is>
      </c>
      <c r="B22" s="7" t="n">
        <v>1</v>
      </c>
      <c r="D22" s="6" t="inlineStr">
        <is>
          <t>100% = SME (조특법 제6조①). 80% only if 나목 breached (&gt;=500bn-asset holder takes &gt;=30%) — no grace.</t>
        </is>
      </c>
    </row>
    <row r="23">
      <c r="A23" t="inlineStr">
        <is>
          <t>Minimum tax (최저한세) floor %</t>
        </is>
      </c>
      <c r="B23" s="7" t="n">
        <v>0.07000000000000001</v>
      </c>
      <c r="D23" s="6" t="inlineStr">
        <is>
          <t>SME rate. Floors CREDIT usage, not NOL usage. SECONDARY-sourced — verify before relying on it.</t>
        </is>
      </c>
    </row>
    <row r="25">
      <c r="A25" s="4" t="inlineStr">
        <is>
          <t>CAPITAL STRUCTURE</t>
        </is>
      </c>
    </row>
    <row r="26">
      <c r="A26" t="inlineStr">
        <is>
          <t>Shares (M, fully diluted)</t>
        </is>
      </c>
      <c r="B26" s="8" t="n">
        <v>27.778678</v>
      </c>
      <c r="D26" s="6" t="inlineStr">
        <is>
          <t>Assumes the 2.32M placement closes 2026-07-27. Excludes convertible-bond dilution.</t>
        </is>
      </c>
    </row>
    <row r="27">
      <c r="A27" t="inlineStr">
        <is>
          <t>Net debt (bn)</t>
        </is>
      </c>
      <c r="B27" s="5" t="n">
        <v>4.95</v>
      </c>
      <c r="D27" s="6" t="inlineStr">
        <is>
          <t>Debt 7.45 + CB 7.46 + lease 0.91 - cash 10.87. CB dilution NOT in share count.</t>
        </is>
      </c>
    </row>
    <row r="28">
      <c r="A28" t="inlineStr">
        <is>
          <t>Investment property (bn)</t>
        </is>
      </c>
      <c r="B28" s="5" t="n">
        <v>53.25</v>
      </c>
      <c r="D28" s="6" t="inlineStr">
        <is>
          <t>Non-operating; added to EV at book. 35% of total assets.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9" customWidth="1" min="4" max="4"/>
    <col width="11" customWidth="1" min="5" max="5"/>
    <col width="12" customWidth="1" min="6" max="6"/>
    <col width="11" customWidth="1" min="7" max="7"/>
    <col width="11" customWidth="1" min="8" max="8"/>
    <col width="74" customWidth="1" min="9" max="9"/>
  </cols>
  <sheetData>
    <row r="1">
      <c r="A1" s="2" t="inlineStr">
        <is>
          <t>Order date</t>
        </is>
      </c>
      <c r="B1" s="2" t="inlineStr">
        <is>
          <t>Counterparty</t>
        </is>
      </c>
      <c r="C1" s="2" t="inlineStr">
        <is>
          <t>Segment</t>
        </is>
      </c>
      <c r="D1" s="2" t="inlineStr">
        <is>
          <t>Memory</t>
        </is>
      </c>
      <c r="E1" s="2" t="inlineStr">
        <is>
          <t>Value (bn)</t>
        </is>
      </c>
      <c r="F1" s="2" t="inlineStr">
        <is>
          <t>Delivery</t>
        </is>
      </c>
      <c r="G1" s="2" t="inlineStr">
        <is>
          <t>Delivery Q</t>
        </is>
      </c>
      <c r="H1" s="2" t="inlineStr">
        <is>
          <t>Delivery FY</t>
        </is>
      </c>
      <c r="I1" s="2" t="inlineStr">
        <is>
          <t>Terms</t>
        </is>
      </c>
    </row>
    <row r="2">
      <c r="A2" t="inlineStr">
        <is>
          <t>2025-06-26</t>
        </is>
      </c>
      <c r="B2" t="inlineStr">
        <is>
          <t>CXMT</t>
        </is>
      </c>
      <c r="C2" t="inlineStr">
        <is>
          <t>China-localization</t>
        </is>
      </c>
      <c r="D2" t="inlineStr">
        <is>
          <t>DRAM</t>
        </is>
      </c>
      <c r="E2" s="9" t="n">
        <v>3.49</v>
      </c>
      <c r="F2" t="inlineStr">
        <is>
          <t>2025-07-25</t>
        </is>
      </c>
      <c r="G2" t="inlineStr">
        <is>
          <t>2025-Q3</t>
        </is>
      </c>
      <c r="H2" t="n">
        <v>2025</v>
      </c>
      <c r="I2" t="inlineStr">
        <is>
          <t>50% pre-ship / 50% post-approval</t>
        </is>
      </c>
    </row>
    <row r="3">
      <c r="A3" t="inlineStr">
        <is>
          <t>2025-07-14</t>
        </is>
      </c>
      <c r="B3" t="inlineStr">
        <is>
          <t>CXMT</t>
        </is>
      </c>
      <c r="C3" t="inlineStr">
        <is>
          <t>China-localization</t>
        </is>
      </c>
      <c r="D3" t="inlineStr">
        <is>
          <t>DRAM</t>
        </is>
      </c>
      <c r="E3" s="9" t="n">
        <v>3.52</v>
      </c>
      <c r="F3" t="inlineStr">
        <is>
          <t>2025-08-22</t>
        </is>
      </c>
      <c r="G3" t="inlineStr">
        <is>
          <t>2025-Q3</t>
        </is>
      </c>
      <c r="H3" t="n">
        <v>2025</v>
      </c>
      <c r="I3" t="inlineStr">
        <is>
          <t>50% pre-ship / 50% post-approval</t>
        </is>
      </c>
    </row>
    <row r="4">
      <c r="A4" t="inlineStr">
        <is>
          <t>2025-08-06</t>
        </is>
      </c>
      <c r="B4" t="inlineStr">
        <is>
          <t>CXMT</t>
        </is>
      </c>
      <c r="C4" t="inlineStr">
        <is>
          <t>China-localization</t>
        </is>
      </c>
      <c r="D4" t="inlineStr">
        <is>
          <t>DRAM</t>
        </is>
      </c>
      <c r="E4" s="9" t="n">
        <v>5.69</v>
      </c>
      <c r="F4" t="inlineStr">
        <is>
          <t>2025-09-30</t>
        </is>
      </c>
      <c r="G4" t="inlineStr">
        <is>
          <t>2025-Q3</t>
        </is>
      </c>
      <c r="H4" t="n">
        <v>2025</v>
      </c>
      <c r="I4" t="inlineStr">
        <is>
          <t>50% pre-ship / 50% post-approval</t>
        </is>
      </c>
    </row>
    <row r="5">
      <c r="A5" t="inlineStr">
        <is>
          <t>2025-08-21</t>
        </is>
      </c>
      <c r="B5" t="inlineStr">
        <is>
          <t>CXMT</t>
        </is>
      </c>
      <c r="C5" t="inlineStr">
        <is>
          <t>China-localization</t>
        </is>
      </c>
      <c r="D5" t="inlineStr">
        <is>
          <t>DRAM</t>
        </is>
      </c>
      <c r="E5" s="9" t="n">
        <v>1.1</v>
      </c>
      <c r="F5" t="inlineStr">
        <is>
          <t>2025-10-31</t>
        </is>
      </c>
      <c r="G5" t="inlineStr">
        <is>
          <t>2025-Q4</t>
        </is>
      </c>
      <c r="H5" t="n">
        <v>2025</v>
      </c>
      <c r="I5" t="inlineStr">
        <is>
          <t>parts contract (amended 2024 order; DART 발주일 2024-09-02, date= amendment filing date). Delivery 08-31-&gt;10-31 per rcp 20250821800391</t>
        </is>
      </c>
    </row>
    <row r="6">
      <c r="A6" t="inlineStr">
        <is>
          <t>2025-08-21</t>
        </is>
      </c>
      <c r="B6" t="inlineStr">
        <is>
          <t>CXMT</t>
        </is>
      </c>
      <c r="C6" t="inlineStr">
        <is>
          <t>China-localization</t>
        </is>
      </c>
      <c r="D6" t="inlineStr">
        <is>
          <t>DRAM</t>
        </is>
      </c>
      <c r="E6" s="9" t="n">
        <v>5.83</v>
      </c>
      <c r="F6" t="inlineStr">
        <is>
          <t>2025-10-31</t>
        </is>
      </c>
      <c r="G6" t="inlineStr">
        <is>
          <t>2025-Q4</t>
        </is>
      </c>
      <c r="H6" t="n">
        <v>2025</v>
      </c>
      <c r="I6" t="inlineStr">
        <is>
          <t>80% pre-delivery / 20% balance (amended 2024 order; DART 발주일 2024-08-22, date= amendment filing date). Delivery 08-31-&gt;10-31 per rcp 20250821800390</t>
        </is>
      </c>
    </row>
    <row r="7">
      <c r="A7" t="inlineStr">
        <is>
          <t>2025-09-08</t>
        </is>
      </c>
      <c r="B7" t="inlineStr">
        <is>
          <t>YILING TRADING</t>
        </is>
      </c>
      <c r="C7" t="inlineStr">
        <is>
          <t>China-localization</t>
        </is>
      </c>
      <c r="D7" t="inlineStr">
        <is>
          <t>Mixed</t>
        </is>
      </c>
      <c r="E7" s="9" t="n">
        <v>4.99</v>
      </c>
      <c r="F7" t="inlineStr">
        <is>
          <t>2025-10-30</t>
        </is>
      </c>
      <c r="G7" t="inlineStr">
        <is>
          <t>2025-Q4</t>
        </is>
      </c>
      <c r="H7" t="n">
        <v>2025</v>
      </c>
      <c r="I7" t="inlineStr">
        <is>
          <t>50% pre-ship / 50% post-approval</t>
        </is>
      </c>
    </row>
    <row r="8">
      <c r="A8" t="inlineStr">
        <is>
          <t>2025-09-08</t>
        </is>
      </c>
      <c r="B8" t="inlineStr">
        <is>
          <t>YILING TRADING</t>
        </is>
      </c>
      <c r="C8" t="inlineStr">
        <is>
          <t>China-localization</t>
        </is>
      </c>
      <c r="D8" t="inlineStr">
        <is>
          <t>Mixed</t>
        </is>
      </c>
      <c r="E8" s="9" t="n">
        <v>3.19</v>
      </c>
      <c r="F8" t="inlineStr">
        <is>
          <t>2025-11-30</t>
        </is>
      </c>
      <c r="G8" t="inlineStr">
        <is>
          <t>2025-Q4</t>
        </is>
      </c>
      <c r="H8" t="n">
        <v>2025</v>
      </c>
      <c r="I8" t="inlineStr">
        <is>
          <t>50% pre-ship / 50% post-approval</t>
        </is>
      </c>
    </row>
    <row r="9">
      <c r="A9" t="inlineStr">
        <is>
          <t>2025-11-26</t>
        </is>
      </c>
      <c r="B9" t="inlineStr">
        <is>
          <t>YILING TRADING</t>
        </is>
      </c>
      <c r="C9" t="inlineStr">
        <is>
          <t>China-localization</t>
        </is>
      </c>
      <c r="D9" t="inlineStr">
        <is>
          <t>Mixed</t>
        </is>
      </c>
      <c r="E9" s="9" t="n">
        <v>13.85</v>
      </c>
      <c r="F9" t="inlineStr">
        <is>
          <t>2026-04-30</t>
        </is>
      </c>
      <c r="G9" t="inlineStr">
        <is>
          <t>2026-Q2</t>
        </is>
      </c>
      <c r="H9" t="n">
        <v>2026</v>
      </c>
      <c r="I9" t="inlineStr">
        <is>
          <t>50% pre-ship / 50% post-approval</t>
        </is>
      </c>
    </row>
    <row r="10">
      <c r="A10" t="inlineStr">
        <is>
          <t>2025-12-19</t>
        </is>
      </c>
      <c r="B10" t="inlineStr">
        <is>
          <t>Unimos Microelectronics (Wuhan)</t>
        </is>
      </c>
      <c r="C10" t="inlineStr">
        <is>
          <t>China-localization</t>
        </is>
      </c>
      <c r="D10" t="inlineStr">
        <is>
          <t>Mixed</t>
        </is>
      </c>
      <c r="E10" s="9" t="n">
        <v>10.2</v>
      </c>
      <c r="F10" t="inlineStr">
        <is>
          <t>2026-04-20</t>
        </is>
      </c>
      <c r="G10" t="inlineStr">
        <is>
          <t>2026-Q2</t>
        </is>
      </c>
      <c r="H10" t="n">
        <v>2026</v>
      </c>
      <c r="I10" t="inlineStr">
        <is>
          <t>90% within 30d of arrival / 10% post-approval (delivery amended 2026-03-25-&gt;04-20 per rcp 20260325801220 — moves Q1'26-&gt;Q2'26)</t>
        </is>
      </c>
    </row>
    <row r="11">
      <c r="A11" t="inlineStr">
        <is>
          <t>2026-02-26</t>
        </is>
      </c>
      <c r="B11" t="inlineStr">
        <is>
          <t>Unimos Microelectronics (Wuhan)</t>
        </is>
      </c>
      <c r="C11" t="inlineStr">
        <is>
          <t>China-localization</t>
        </is>
      </c>
      <c r="D11" t="inlineStr">
        <is>
          <t>Mixed</t>
        </is>
      </c>
      <c r="E11" s="9" t="n">
        <v>3.3</v>
      </c>
      <c r="F11" t="inlineStr">
        <is>
          <t>2026-06-30</t>
        </is>
      </c>
      <c r="G11" t="inlineStr">
        <is>
          <t>2026-Q2</t>
        </is>
      </c>
      <c r="H11" t="n">
        <v>2026</v>
      </c>
      <c r="I11" t="inlineStr">
        <is>
          <t>90% within 30d of arrival / 10% post-approval</t>
        </is>
      </c>
    </row>
    <row r="12">
      <c r="A12" t="inlineStr">
        <is>
          <t>2026-03-12</t>
        </is>
      </c>
      <c r="B12" t="inlineStr">
        <is>
          <t>YILING TRADING</t>
        </is>
      </c>
      <c r="C12" t="inlineStr">
        <is>
          <t>China-localization</t>
        </is>
      </c>
      <c r="D12" t="inlineStr">
        <is>
          <t>Mixed</t>
        </is>
      </c>
      <c r="E12" s="9" t="n">
        <v>6.19</v>
      </c>
      <c r="F12" t="inlineStr">
        <is>
          <t>2026-08-25</t>
        </is>
      </c>
      <c r="G12" t="inlineStr">
        <is>
          <t>2026-Q3</t>
        </is>
      </c>
      <c r="H12" t="n">
        <v>2026</v>
      </c>
      <c r="I12" t="inlineStr">
        <is>
          <t>70% pre-ship / 30% post-approval (delivery amended 7/25→8/25, product spec change)</t>
        </is>
      </c>
    </row>
    <row r="13">
      <c r="A13" t="inlineStr">
        <is>
          <t>2026-03-12</t>
        </is>
      </c>
      <c r="B13" t="inlineStr">
        <is>
          <t>Unimos Microelectronics (Wuhan)</t>
        </is>
      </c>
      <c r="C13" t="inlineStr">
        <is>
          <t>China-localization</t>
        </is>
      </c>
      <c r="D13" t="inlineStr">
        <is>
          <t>Mixed</t>
        </is>
      </c>
      <c r="E13" s="9" t="n">
        <v>1.69</v>
      </c>
      <c r="F13" t="inlineStr">
        <is>
          <t>2026-07-15</t>
        </is>
      </c>
      <c r="G13" t="inlineStr">
        <is>
          <t>2026-Q3</t>
        </is>
      </c>
      <c r="H13" t="n">
        <v>2026</v>
      </c>
      <c r="I13" t="inlineStr">
        <is>
          <t>90% within 30d of arrival / 10% post-approval (delivery amended 6/30→7/15)</t>
        </is>
      </c>
    </row>
    <row r="14">
      <c r="A14" t="inlineStr">
        <is>
          <t>2026-03-17</t>
        </is>
      </c>
      <c r="B14" t="inlineStr">
        <is>
          <t>SK Hynix</t>
        </is>
      </c>
      <c r="C14" t="inlineStr">
        <is>
          <t>Korea-HBM</t>
        </is>
      </c>
      <c r="D14" t="inlineStr">
        <is>
          <t>HBM</t>
        </is>
      </c>
      <c r="E14" s="9" t="n">
        <v>2.24</v>
      </c>
      <c r="F14" t="inlineStr">
        <is>
          <t>2026-04-03</t>
        </is>
      </c>
      <c r="G14" t="inlineStr">
        <is>
          <t>2026-Q2</t>
        </is>
      </c>
      <c r="H14" t="n">
        <v>2026</v>
      </c>
      <c r="I14" t="inlineStr">
        <is>
          <t>90% on delivery / 10% post-inspection</t>
        </is>
      </c>
    </row>
    <row r="15">
      <c r="A15" t="inlineStr">
        <is>
          <t>2026-03-20</t>
        </is>
      </c>
      <c r="B15" t="inlineStr">
        <is>
          <t>YILING TRADING</t>
        </is>
      </c>
      <c r="C15" t="inlineStr">
        <is>
          <t>China-localization</t>
        </is>
      </c>
      <c r="D15" t="inlineStr">
        <is>
          <t>Mixed</t>
        </is>
      </c>
      <c r="E15" s="9" t="n">
        <v>3.85</v>
      </c>
      <c r="F15" t="inlineStr">
        <is>
          <t>2026-06-30</t>
        </is>
      </c>
      <c r="G15" t="inlineStr">
        <is>
          <t>2026-Q2</t>
        </is>
      </c>
      <c r="H15" t="n">
        <v>2026</v>
      </c>
      <c r="I15" t="inlineStr">
        <is>
          <t>70% pre-ship / 30% post-approval (delivery amended 06-20-&gt;06-30 per rcp 20260618800435)</t>
        </is>
      </c>
    </row>
    <row r="16">
      <c r="A16" t="inlineStr">
        <is>
          <t>2026-04-29</t>
        </is>
      </c>
      <c r="B16" t="inlineStr">
        <is>
          <t>YILING TRADING</t>
        </is>
      </c>
      <c r="C16" t="inlineStr">
        <is>
          <t>China-localization</t>
        </is>
      </c>
      <c r="D16" t="inlineStr">
        <is>
          <t>Mixed</t>
        </is>
      </c>
      <c r="E16" s="9" t="n">
        <v>3.83</v>
      </c>
      <c r="F16" t="inlineStr">
        <is>
          <t>2026-10-31</t>
        </is>
      </c>
      <c r="G16" t="inlineStr">
        <is>
          <t>2026-Q4</t>
        </is>
      </c>
      <c r="H16" t="n">
        <v>2026</v>
      </c>
      <c r="I16" t="inlineStr">
        <is>
          <t>70% pre-ship / 30% post-approval</t>
        </is>
      </c>
    </row>
    <row r="17">
      <c r="A17" t="inlineStr">
        <is>
          <t>2026-05-12</t>
        </is>
      </c>
      <c r="B17" t="inlineStr">
        <is>
          <t>Unimos Microelectronics (Wuhan)</t>
        </is>
      </c>
      <c r="C17" t="inlineStr">
        <is>
          <t>China-localization</t>
        </is>
      </c>
      <c r="D17" t="inlineStr">
        <is>
          <t>Mixed</t>
        </is>
      </c>
      <c r="E17" s="9" t="n">
        <v>7.99</v>
      </c>
      <c r="F17" t="inlineStr">
        <is>
          <t>2026-08-30</t>
        </is>
      </c>
      <c r="G17" t="inlineStr">
        <is>
          <t>2026-Q3</t>
        </is>
      </c>
      <c r="H17" t="n">
        <v>2026</v>
      </c>
      <c r="I17" t="inlineStr">
        <is>
          <t>90% within 30d of arrival / 10% post-approval</t>
        </is>
      </c>
    </row>
    <row r="18">
      <c r="A18" t="inlineStr">
        <is>
          <t>2026-05-19</t>
        </is>
      </c>
      <c r="B18" t="inlineStr">
        <is>
          <t>SK Hynix</t>
        </is>
      </c>
      <c r="C18" t="inlineStr">
        <is>
          <t>Korea-HBM</t>
        </is>
      </c>
      <c r="D18" t="inlineStr">
        <is>
          <t>HBM</t>
        </is>
      </c>
      <c r="E18" s="9" t="n">
        <v>2.64</v>
      </c>
      <c r="F18" t="inlineStr">
        <is>
          <t>2026-09-30</t>
        </is>
      </c>
      <c r="G18" t="inlineStr">
        <is>
          <t>2026-Q3</t>
        </is>
      </c>
      <c r="H18" t="n">
        <v>2026</v>
      </c>
      <c r="I18" t="inlineStr">
        <is>
          <t>90% on delivery / 10% post-inspection (delivery amended 6/30→9/30)</t>
        </is>
      </c>
    </row>
    <row r="19">
      <c r="A19" t="inlineStr">
        <is>
          <t>2026-05-19</t>
        </is>
      </c>
      <c r="B19" t="inlineStr">
        <is>
          <t>SK Hynix</t>
        </is>
      </c>
      <c r="C19" t="inlineStr">
        <is>
          <t>Korea-HBM</t>
        </is>
      </c>
      <c r="D19" t="inlineStr">
        <is>
          <t>HBM</t>
        </is>
      </c>
      <c r="E19" s="9" t="n">
        <v>3.96</v>
      </c>
      <c r="F19" t="inlineStr">
        <is>
          <t>2026-10-30</t>
        </is>
      </c>
      <c r="G19" t="inlineStr">
        <is>
          <t>2026-Q4</t>
        </is>
      </c>
      <c r="H19" t="n">
        <v>2026</v>
      </c>
      <c r="I19" t="inlineStr">
        <is>
          <t>90% on delivery / 10% post-inspection</t>
        </is>
      </c>
    </row>
    <row r="20">
      <c r="A20" t="inlineStr">
        <is>
          <t>2026-05-26</t>
        </is>
      </c>
      <c r="B20" t="inlineStr">
        <is>
          <t>Yangtze Memory Technologies (YMTC)</t>
        </is>
      </c>
      <c r="C20" t="inlineStr">
        <is>
          <t>China-localization</t>
        </is>
      </c>
      <c r="D20" t="inlineStr">
        <is>
          <t>NAND</t>
        </is>
      </c>
      <c r="E20" s="9" t="n">
        <v>3.58</v>
      </c>
      <c r="F20" t="inlineStr">
        <is>
          <t>2027-07-01</t>
        </is>
      </c>
      <c r="G20" t="inlineStr">
        <is>
          <t>2027-Q3</t>
        </is>
      </c>
      <c r="H20" t="n">
        <v>2027</v>
      </c>
      <c r="I20" t="inlineStr">
        <is>
          <t>within 60d of final approval</t>
        </is>
      </c>
    </row>
    <row r="21">
      <c r="A21" t="inlineStr">
        <is>
          <t>2026-06-01</t>
        </is>
      </c>
      <c r="B21" t="inlineStr">
        <is>
          <t>YILING TRADING</t>
        </is>
      </c>
      <c r="C21" t="inlineStr">
        <is>
          <t>China-localization</t>
        </is>
      </c>
      <c r="D21" t="inlineStr">
        <is>
          <t>Mixed</t>
        </is>
      </c>
      <c r="E21" s="9" t="n">
        <v>15.42</v>
      </c>
      <c r="F21" t="inlineStr">
        <is>
          <t>2026-12-15</t>
        </is>
      </c>
      <c r="G21" t="inlineStr">
        <is>
          <t>2026-Q4</t>
        </is>
      </c>
      <c r="H21" t="n">
        <v>2026</v>
      </c>
      <c r="I21" t="inlineStr">
        <is>
          <t>70% pre-ship / 30% post-approval</t>
        </is>
      </c>
    </row>
    <row r="22">
      <c r="A22" t="inlineStr">
        <is>
          <t>2026-06-12</t>
        </is>
      </c>
      <c r="B22" t="inlineStr">
        <is>
          <t>Yangtze Memory Technologies (YMTC)</t>
        </is>
      </c>
      <c r="C22" t="inlineStr">
        <is>
          <t>China-localization</t>
        </is>
      </c>
      <c r="D22" t="inlineStr">
        <is>
          <t>NAND</t>
        </is>
      </c>
      <c r="E22" s="9" t="n">
        <v>2.71</v>
      </c>
      <c r="F22" t="inlineStr">
        <is>
          <t>2026-08-31</t>
        </is>
      </c>
      <c r="G22" t="inlineStr">
        <is>
          <t>2026-Q3</t>
        </is>
      </c>
      <c r="H22" t="n">
        <v>2026</v>
      </c>
      <c r="I22" t="inlineStr">
        <is>
          <t>within 60d of final approval</t>
        </is>
      </c>
    </row>
    <row r="23">
      <c r="A23" t="inlineStr">
        <is>
          <t>2026-06-23</t>
        </is>
      </c>
      <c r="B23" t="inlineStr">
        <is>
          <t>YILING TRADING</t>
        </is>
      </c>
      <c r="C23" t="inlineStr">
        <is>
          <t>China-localization</t>
        </is>
      </c>
      <c r="D23" t="inlineStr">
        <is>
          <t>Mixed</t>
        </is>
      </c>
      <c r="E23" s="9" t="n">
        <v>6.22</v>
      </c>
      <c r="F23" t="inlineStr">
        <is>
          <t>2026-11-20</t>
        </is>
      </c>
      <c r="G23" t="inlineStr">
        <is>
          <t>2026-Q4</t>
        </is>
      </c>
      <c r="H23" t="n">
        <v>2026</v>
      </c>
      <c r="I23" t="inlineStr">
        <is>
          <t>70% pre-ship / 30% post-approval</t>
        </is>
      </c>
    </row>
    <row r="24">
      <c r="D24" s="4" t="inlineStr">
        <is>
          <t>TOTAL</t>
        </is>
      </c>
      <c r="E24" s="10">
        <f>SUM(E2:E23)</f>
        <v/>
      </c>
    </row>
    <row r="26">
      <c r="A26" s="6" t="inlineStr">
        <is>
          <t>Reconciled against all 29 단일판매·공급계약 filings (2025-01..2026-07); 29 -&gt; 22 distinct after deduping [기재정정] revisions. Delivery = 계약기간 종료일 = deliver-BY deadline, not actual delivery — Mirae ships early, so this LAGS revenue.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QUARTERLY ACTUALS (KRW bn) — DART 매출실적 + stockanalysis margins</t>
        </is>
      </c>
      <c r="B1" s="3" t="n"/>
      <c r="C1" s="3" t="n"/>
      <c r="D1" s="3" t="n"/>
      <c r="E1" s="3" t="n"/>
      <c r="F1" s="3" t="n"/>
      <c r="G1" s="3" t="n"/>
      <c r="H1" s="3" t="n"/>
    </row>
    <row r="2">
      <c r="B2" s="4" t="inlineStr">
        <is>
          <t>2025-Q1</t>
        </is>
      </c>
      <c r="C2" s="4" t="inlineStr">
        <is>
          <t>2025-Q2</t>
        </is>
      </c>
      <c r="D2" s="4" t="inlineStr">
        <is>
          <t>2025-Q3</t>
        </is>
      </c>
      <c r="E2" s="4" t="inlineStr">
        <is>
          <t>2025-Q4</t>
        </is>
      </c>
      <c r="F2" s="4" t="inlineStr">
        <is>
          <t>2026-Q1</t>
        </is>
      </c>
    </row>
    <row r="3">
      <c r="A3" t="inlineStr">
        <is>
          <t>ATE revenue</t>
        </is>
      </c>
      <c r="B3" s="9" t="n">
        <v>3.634</v>
      </c>
      <c r="C3" s="9" t="n">
        <v>5.537</v>
      </c>
      <c r="D3" s="9" t="n">
        <v>21.781</v>
      </c>
      <c r="E3" s="9" t="n">
        <v>14.24</v>
      </c>
      <c r="F3" s="9" t="n">
        <v>17.35</v>
      </c>
    </row>
    <row r="4">
      <c r="A4" t="inlineStr">
        <is>
          <t>MAI revenue</t>
        </is>
      </c>
      <c r="B4" s="9" t="n">
        <v>1.114</v>
      </c>
      <c r="C4" s="9" t="n">
        <v>1.27</v>
      </c>
      <c r="D4" s="9" t="n">
        <v>0.847</v>
      </c>
      <c r="E4" s="9" t="n">
        <v>2.355</v>
      </c>
      <c r="F4" s="9" t="n">
        <v>3.389</v>
      </c>
    </row>
    <row r="5">
      <c r="A5" t="inlineStr">
        <is>
          <t>Total revenue</t>
        </is>
      </c>
      <c r="B5" s="9" t="n">
        <v>4.749</v>
      </c>
      <c r="C5" s="9" t="n">
        <v>6.806</v>
      </c>
      <c r="D5" s="9" t="n">
        <v>22.628</v>
      </c>
      <c r="E5" s="9" t="n">
        <v>16.595</v>
      </c>
      <c r="F5" s="9" t="n">
        <v>20.738</v>
      </c>
    </row>
    <row r="6">
      <c r="A6" t="inlineStr">
        <is>
          <t>Gross margin %</t>
        </is>
      </c>
      <c r="B6" s="9" t="n">
        <v>56.74</v>
      </c>
      <c r="C6" s="9" t="n">
        <v>42.22</v>
      </c>
      <c r="D6" s="9" t="n">
        <v>36.36</v>
      </c>
      <c r="E6" s="9" t="n">
        <v>44.7</v>
      </c>
      <c r="F6" s="9" t="n">
        <v>34.55</v>
      </c>
    </row>
    <row r="7">
      <c r="A7" t="inlineStr">
        <is>
          <t>SG&amp;A</t>
        </is>
      </c>
      <c r="B7" s="9" t="n">
        <v>2.242</v>
      </c>
      <c r="C7" s="9" t="n">
        <v>1.713</v>
      </c>
      <c r="D7" s="9" t="n">
        <v>2.138</v>
      </c>
      <c r="E7" s="9" t="n">
        <v>2.991</v>
      </c>
      <c r="F7" s="9" t="n">
        <v>2.528</v>
      </c>
    </row>
    <row r="8">
      <c r="A8" t="inlineStr">
        <is>
          <t>R&amp;D</t>
        </is>
      </c>
      <c r="B8" s="9" t="n">
        <v>0.178</v>
      </c>
      <c r="C8" s="9" t="n">
        <v>0.08500000000000001</v>
      </c>
      <c r="D8" s="9" t="n">
        <v>0.105</v>
      </c>
      <c r="E8" s="9" t="n">
        <v>0.145</v>
      </c>
      <c r="F8" s="9" t="n">
        <v>0.118</v>
      </c>
    </row>
    <row r="9">
      <c r="A9" t="inlineStr">
        <is>
          <t>Operating profit</t>
        </is>
      </c>
      <c r="B9" s="9" t="n">
        <v>0.292</v>
      </c>
      <c r="C9" s="9" t="n">
        <v>1.041</v>
      </c>
      <c r="D9" s="9" t="n">
        <v>6.01</v>
      </c>
      <c r="E9" s="9" t="n">
        <v>1.811</v>
      </c>
      <c r="F9" s="9" t="n">
        <v>4.887</v>
      </c>
    </row>
    <row r="11">
      <c r="A11" s="2" t="inlineStr">
        <is>
          <t>FY2025 BALANCE SHEET / CASH FLOW (consolidated, rcept 20260319001166)</t>
        </is>
      </c>
      <c r="B11" s="3" t="n"/>
      <c r="C11" s="3" t="n"/>
      <c r="D11" s="3" t="n"/>
      <c r="E11" s="3" t="n"/>
      <c r="F11" s="3" t="n"/>
      <c r="G11" s="3" t="n"/>
      <c r="H11" s="3" t="n"/>
    </row>
    <row r="12">
      <c r="A12" t="inlineStr">
        <is>
          <t>Cash</t>
        </is>
      </c>
      <c r="B12" s="9" t="n">
        <v>10.87</v>
      </c>
    </row>
    <row r="13">
      <c r="A13" t="inlineStr">
        <is>
          <t>Receivables</t>
        </is>
      </c>
      <c r="B13" s="9" t="n">
        <v>12.08</v>
      </c>
    </row>
    <row r="14">
      <c r="A14" t="inlineStr">
        <is>
          <t>Inventory</t>
        </is>
      </c>
      <c r="B14" s="9" t="n">
        <v>34.64</v>
      </c>
    </row>
    <row r="15">
      <c r="A15" t="inlineStr">
        <is>
          <t>Payables</t>
        </is>
      </c>
      <c r="B15" s="9" t="n">
        <v>9.369999999999999</v>
      </c>
    </row>
    <row r="16">
      <c r="A16" t="inlineStr">
        <is>
          <t>Short-term debt</t>
        </is>
      </c>
      <c r="B16" s="9" t="n">
        <v>7.45</v>
      </c>
    </row>
    <row r="17">
      <c r="A17" t="inlineStr">
        <is>
          <t>Convertible bonds</t>
        </is>
      </c>
      <c r="B17" s="9" t="n">
        <v>7.46</v>
      </c>
    </row>
    <row r="18">
      <c r="A18" t="inlineStr">
        <is>
          <t>Lease liabilities</t>
        </is>
      </c>
      <c r="B18" s="9" t="n">
        <v>0.91</v>
      </c>
    </row>
    <row r="19">
      <c r="A19" t="inlineStr">
        <is>
          <t>Investment property</t>
        </is>
      </c>
      <c r="B19" s="9" t="n">
        <v>53.25</v>
      </c>
    </row>
    <row r="20">
      <c r="A20" t="inlineStr">
        <is>
          <t>PP&amp;E</t>
        </is>
      </c>
      <c r="B20" s="9" t="n">
        <v>16.99</v>
      </c>
    </row>
    <row r="21">
      <c r="A21" t="inlineStr">
        <is>
          <t>Total assets</t>
        </is>
      </c>
      <c r="B21" s="9" t="n">
        <v>152.35</v>
      </c>
    </row>
    <row r="22">
      <c r="A22" t="inlineStr">
        <is>
          <t>Equity</t>
        </is>
      </c>
      <c r="B22" s="9" t="n">
        <v>122.6</v>
      </c>
    </row>
    <row r="23">
      <c r="A23" t="inlineStr">
        <is>
          <t>Depreciation</t>
        </is>
      </c>
      <c r="B23" s="9" t="n">
        <v>0.8169999999999999</v>
      </c>
    </row>
    <row r="24">
      <c r="A24" t="inlineStr">
        <is>
          <t>Amortisation</t>
        </is>
      </c>
      <c r="B24" s="9" t="n">
        <v>0.024</v>
      </c>
    </row>
    <row r="25">
      <c r="A25" t="inlineStr">
        <is>
          <t>Capex</t>
        </is>
      </c>
      <c r="B25" s="9" t="n">
        <v>0.08400000000000001</v>
      </c>
    </row>
    <row r="27">
      <c r="A27" s="4" t="inlineStr">
        <is>
          <t>NWC (AR + Inventory - AP)</t>
        </is>
      </c>
      <c r="B27" s="9" t="n">
        <v>37.35</v>
      </c>
    </row>
    <row r="28">
      <c r="A28" s="4" t="inlineStr">
        <is>
          <t>NWC % of revenue</t>
        </is>
      </c>
      <c r="B28" s="11" t="n">
        <v>0.7355257975580938</v>
      </c>
    </row>
    <row r="29">
      <c r="A29" s="6" t="inlineStr">
        <is>
          <t>FY24 NWC was 23.26bn -&gt; dWC consumed 14.1bn of cash in FY25, vs 9.83bn pretax income. Cash fell 13.50 -&gt; 10.87.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TAX LOSS WATERFALL — expiry-ordered (note 30-(4)/(5), at 2025-12-31)</t>
        </is>
      </c>
      <c r="B1" s="3" t="n"/>
      <c r="C1" s="3" t="n"/>
      <c r="D1" s="3" t="n"/>
      <c r="E1" s="3" t="n"/>
      <c r="F1" s="3" t="n"/>
      <c r="G1" s="3" t="n"/>
      <c r="H1" s="3" t="n"/>
    </row>
    <row r="3">
      <c r="A3" s="4" t="inlineStr">
        <is>
          <t>Expiry bucket</t>
        </is>
      </c>
      <c r="B3" s="4" t="inlineStr">
        <is>
          <t>Amount (bn)</t>
        </is>
      </c>
    </row>
    <row r="4">
      <c r="A4" t="inlineStr">
        <is>
          <t>Expires 2026</t>
        </is>
      </c>
      <c r="B4" s="9" t="n">
        <v>2.45</v>
      </c>
    </row>
    <row r="5">
      <c r="A5" t="inlineStr">
        <is>
          <t>Expires 2027</t>
        </is>
      </c>
      <c r="B5" s="9" t="n">
        <v>27.1</v>
      </c>
    </row>
    <row r="6">
      <c r="A6" t="inlineStr">
        <is>
          <t>Expires 2028</t>
        </is>
      </c>
      <c r="B6" s="9" t="n">
        <v>10.46</v>
      </c>
    </row>
    <row r="7">
      <c r="A7" t="inlineStr">
        <is>
          <t>Expires 2029+</t>
        </is>
      </c>
      <c r="B7" s="9" t="n">
        <v>25.39</v>
      </c>
    </row>
    <row r="8">
      <c r="A8" s="4" t="inlineStr">
        <is>
          <t>TOTAL</t>
        </is>
      </c>
      <c r="B8" s="10">
        <f>SUM(B4:B7)</f>
        <v/>
      </c>
    </row>
    <row r="10">
      <c r="A10" s="6" t="inlineStr">
        <is>
          <t>29.55bn (45%) expires by end-2027. Use-it-or-lose-it: only taxable income earned NOW saves it. This — not the 80/100% cap — is the binding constraint.</t>
        </is>
      </c>
    </row>
    <row r="12">
      <c r="A12" s="2" t="inlineStr">
        <is>
          <t>CONSUMPTION BY YEAR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B13" s="4" t="n">
        <v>2026</v>
      </c>
      <c r="C13" s="4" t="n">
        <v>2027</v>
      </c>
      <c r="D13" s="4" t="n">
        <v>2028</v>
      </c>
      <c r="E13" s="4" t="n">
        <v>2029</v>
      </c>
      <c r="F13" s="4" t="n">
        <v>2030</v>
      </c>
    </row>
    <row r="14">
      <c r="A14" t="inlineStr">
        <is>
          <t>Taxable income (pre-NOL)</t>
        </is>
      </c>
      <c r="B14" s="9">
        <f>Model!B10</f>
        <v/>
      </c>
      <c r="C14" s="9">
        <f>Model!C10</f>
        <v/>
      </c>
      <c r="D14" s="9">
        <f>Model!D10</f>
        <v/>
      </c>
      <c r="E14" s="9">
        <f>Model!E10</f>
        <v/>
      </c>
      <c r="F14" s="9">
        <f>Model!F10</f>
        <v/>
      </c>
    </row>
    <row r="15">
      <c r="A15" t="inlineStr">
        <is>
          <t>NOL available</t>
        </is>
      </c>
      <c r="B15" s="9">
        <f>SUM(B4:B7)</f>
        <v/>
      </c>
      <c r="C15" s="9">
        <f>B18</f>
        <v/>
      </c>
      <c r="D15" s="9">
        <f>C18</f>
        <v/>
      </c>
      <c r="E15" s="9">
        <f>D18</f>
        <v/>
      </c>
      <c r="F15" s="9">
        <f>E18</f>
        <v/>
      </c>
    </row>
    <row r="16">
      <c r="A16" t="inlineStr">
        <is>
          <t>NOL used</t>
        </is>
      </c>
      <c r="B16" s="9">
        <f>MAX(0,MIN(B15,B14*Assumptions!$B$22))</f>
        <v/>
      </c>
      <c r="C16" s="9">
        <f>MAX(0,MIN(C15,C14*Assumptions!$B$22))</f>
        <v/>
      </c>
      <c r="D16" s="9">
        <f>MAX(0,MIN(D15,D14*Assumptions!$B$22))</f>
        <v/>
      </c>
      <c r="E16" s="9">
        <f>MAX(0,MIN(E15,E14*Assumptions!$B$22))</f>
        <v/>
      </c>
      <c r="F16" s="9">
        <f>MAX(0,MIN(F15,F14*Assumptions!$B$22))</f>
        <v/>
      </c>
    </row>
    <row r="17">
      <c r="A17" t="inlineStr">
        <is>
          <t>NOL expired unused</t>
        </is>
      </c>
      <c r="B17" s="9">
        <f>MAX(0,B4-B16)</f>
        <v/>
      </c>
      <c r="C17" s="9">
        <f>MAX(0,B5-C16)</f>
        <v/>
      </c>
      <c r="D17" s="9">
        <f>MAX(0,B6-D16)</f>
        <v/>
      </c>
      <c r="E17" s="9" t="n">
        <v>0</v>
      </c>
      <c r="F17" s="9" t="n">
        <v>0</v>
      </c>
      <c r="H17" s="6" t="inlineStr">
        <is>
          <t>Simplification: expires the whole dated bucket less that year's usage. With income this large the buckets drain first, so this is conservative-neutral; revisit if EBIT assumptions fall a lot.</t>
        </is>
      </c>
    </row>
    <row r="18">
      <c r="A18" t="inlineStr">
        <is>
          <t>NOL closing balance</t>
        </is>
      </c>
      <c r="B18" s="9">
        <f>MAX(0,B15-B16-B17)</f>
        <v/>
      </c>
      <c r="C18" s="9">
        <f>MAX(0,C15-C16-C17)</f>
        <v/>
      </c>
      <c r="D18" s="9">
        <f>MAX(0,D15-D16-D17)</f>
        <v/>
      </c>
      <c r="E18" s="9">
        <f>MAX(0,E15-E16-E17)</f>
        <v/>
      </c>
      <c r="F18" s="9">
        <f>MAX(0,F15-F16-F17)</f>
        <v/>
      </c>
    </row>
    <row r="19">
      <c r="A19" t="inlineStr">
        <is>
          <t>Taxable after NOL</t>
        </is>
      </c>
      <c r="B19" s="9">
        <f>MAX(0,B14-B16)</f>
        <v/>
      </c>
      <c r="C19" s="9">
        <f>MAX(0,C14-C16)</f>
        <v/>
      </c>
      <c r="D19" s="9">
        <f>MAX(0,D14-D16)</f>
        <v/>
      </c>
      <c r="E19" s="9">
        <f>MAX(0,E14-E16)</f>
        <v/>
      </c>
      <c r="F19" s="9">
        <f>MAX(0,F14-F16)</f>
        <v/>
      </c>
    </row>
    <row r="20">
      <c r="A20" t="inlineStr">
        <is>
          <t>Tax at statutory</t>
        </is>
      </c>
      <c r="B20" s="9">
        <f>B19*Assumptions!$B$21</f>
        <v/>
      </c>
      <c r="C20" s="9">
        <f>C19*Assumptions!$B$21</f>
        <v/>
      </c>
      <c r="D20" s="9">
        <f>D19*Assumptions!$B$21</f>
        <v/>
      </c>
      <c r="E20" s="9">
        <f>E19*Assumptions!$B$21</f>
        <v/>
      </c>
      <c r="F20" s="9">
        <f>F19*Assumptions!$B$21</f>
        <v/>
      </c>
    </row>
    <row r="21">
      <c r="A21" t="inlineStr">
        <is>
          <t>Minimum tax floor</t>
        </is>
      </c>
      <c r="B21" s="9">
        <f>B19*Assumptions!$B$23</f>
        <v/>
      </c>
      <c r="C21" s="9">
        <f>C19*Assumptions!$B$23</f>
        <v/>
      </c>
      <c r="D21" s="9">
        <f>D19*Assumptions!$B$23</f>
        <v/>
      </c>
      <c r="E21" s="9">
        <f>E19*Assumptions!$B$23</f>
        <v/>
      </c>
      <c r="F21" s="9">
        <f>F19*Assumptions!$B$23</f>
        <v/>
      </c>
    </row>
    <row r="22">
      <c r="A22" t="inlineStr">
        <is>
          <t>Credits available</t>
        </is>
      </c>
      <c r="B22" s="9" t="n">
        <v>4.61</v>
      </c>
      <c r="C22" s="9">
        <f>B24</f>
        <v/>
      </c>
      <c r="D22" s="9">
        <f>C24</f>
        <v/>
      </c>
      <c r="E22" s="9">
        <f>D24</f>
        <v/>
      </c>
      <c r="F22" s="9">
        <f>E24</f>
        <v/>
      </c>
    </row>
    <row r="23">
      <c r="A23" t="inlineStr">
        <is>
          <t>Credits used</t>
        </is>
      </c>
      <c r="B23" s="9">
        <f>MAX(0,MIN(B22,B20-B21))</f>
        <v/>
      </c>
      <c r="C23" s="9">
        <f>MAX(0,MIN(C22,C20-C21))</f>
        <v/>
      </c>
      <c r="D23" s="9">
        <f>MAX(0,MIN(D22,D20-D21))</f>
        <v/>
      </c>
      <c r="E23" s="9">
        <f>MAX(0,MIN(E22,E20-E21))</f>
        <v/>
      </c>
      <c r="F23" s="9">
        <f>MAX(0,MIN(F22,F20-F21))</f>
        <v/>
      </c>
    </row>
    <row r="24">
      <c r="A24" t="inlineStr">
        <is>
          <t>Credits closing</t>
        </is>
      </c>
      <c r="B24" s="9">
        <f>B22-B23</f>
        <v/>
      </c>
      <c r="C24" s="9">
        <f>C22-C23</f>
        <v/>
      </c>
      <c r="D24" s="9">
        <f>D22-D23</f>
        <v/>
      </c>
      <c r="E24" s="9">
        <f>E22-E23</f>
        <v/>
      </c>
      <c r="F24" s="9">
        <f>F22-F23</f>
        <v/>
      </c>
    </row>
    <row r="26">
      <c r="A26" s="6" t="inlineStr">
        <is>
          <t>Credits (4.61bn) offset tax only down to the 최저한세 floor — they cannot take cash tax to zero. The floor applies to the base AFTER the NOL deduction (이월결손금 is a 법인세법 제13조 deduction, not a 조특법 특례, so it is not added back).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DCF MODEL (KRW bn) — all figures annual</t>
        </is>
      </c>
      <c r="B1" s="3" t="n"/>
      <c r="C1" s="3" t="n"/>
      <c r="D1" s="3" t="n"/>
      <c r="E1" s="3" t="n"/>
      <c r="F1" s="3" t="n"/>
      <c r="G1" s="3" t="n"/>
      <c r="H1" s="3" t="n"/>
    </row>
    <row r="2">
      <c r="B2" s="4" t="n">
        <v>2026</v>
      </c>
      <c r="C2" s="4" t="n">
        <v>2027</v>
      </c>
      <c r="D2" s="4" t="n">
        <v>2028</v>
      </c>
      <c r="E2" s="4" t="n">
        <v>2029</v>
      </c>
      <c r="F2" s="4" t="n">
        <v>2030</v>
      </c>
    </row>
    <row r="3">
      <c r="A3" t="inlineStr">
        <is>
          <t>Order book (contracted)</t>
        </is>
      </c>
      <c r="B3" s="9" t="n">
        <v>84.09</v>
      </c>
      <c r="C3" s="9" t="n">
        <v>3.58</v>
      </c>
      <c r="D3" s="9" t="n">
        <v>0</v>
      </c>
      <c r="E3" s="9" t="n">
        <v>0</v>
      </c>
      <c r="F3" s="9" t="n">
        <v>0</v>
      </c>
      <c r="H3" s="6" t="inlineStr">
        <is>
          <t>Dry after FY2027 — 3.58bn only.</t>
        </is>
      </c>
    </row>
    <row r="4">
      <c r="A4" t="inlineStr">
        <is>
          <t>Base ATE</t>
        </is>
      </c>
      <c r="B4" s="9">
        <f>Assumptions!$B$4*4</f>
        <v/>
      </c>
      <c r="C4" s="9">
        <f>Assumptions!$B$4*4</f>
        <v/>
      </c>
      <c r="D4" s="9">
        <f>Assumptions!$B$4*4</f>
        <v/>
      </c>
      <c r="E4" s="9">
        <f>Assumptions!$B$4*4</f>
        <v/>
      </c>
      <c r="F4" s="9">
        <f>Assumptions!$B$4*4</f>
        <v/>
      </c>
    </row>
    <row r="5">
      <c r="A5" t="inlineStr">
        <is>
          <t>MAI</t>
        </is>
      </c>
      <c r="B5" s="9">
        <f>Assumptions!$B$5*4</f>
        <v/>
      </c>
      <c r="C5" s="9">
        <f>Assumptions!$B$5*4</f>
        <v/>
      </c>
      <c r="D5" s="9">
        <f>Assumptions!$B$5*4</f>
        <v/>
      </c>
      <c r="E5" s="9">
        <f>Assumptions!$B$5*4</f>
        <v/>
      </c>
      <c r="F5" s="9">
        <f>Assumptions!$B$5*4</f>
        <v/>
      </c>
    </row>
    <row r="6">
      <c r="A6" s="4" t="inlineStr">
        <is>
          <t>Revenue</t>
        </is>
      </c>
      <c r="B6" s="12">
        <f>SUM(B3:B5)</f>
        <v/>
      </c>
      <c r="C6" s="12">
        <f>B6*(1+Assumptions!$B$9)</f>
        <v/>
      </c>
      <c r="D6" s="12">
        <f>C6*(1+Assumptions!$B$9)</f>
        <v/>
      </c>
      <c r="E6" s="12">
        <f>D6*(1+Assumptions!$B$9)</f>
        <v/>
      </c>
      <c r="F6" s="12">
        <f>E6*(1+Assumptions!$B$9)</f>
        <v/>
      </c>
      <c r="H6" s="6" t="inlineStr">
        <is>
          <t>FY26 = contracted + base. FY27+ = growth assumption.</t>
        </is>
      </c>
    </row>
    <row r="7">
      <c r="A7" t="inlineStr">
        <is>
          <t>Gross profit</t>
        </is>
      </c>
      <c r="B7" s="9">
        <f>B6*Assumptions!$B$6</f>
        <v/>
      </c>
      <c r="C7" s="9">
        <f>C6*Assumptions!$B$6</f>
        <v/>
      </c>
      <c r="D7" s="9">
        <f>D6*Assumptions!$B$6</f>
        <v/>
      </c>
      <c r="E7" s="9">
        <f>E6*Assumptions!$B$6</f>
        <v/>
      </c>
      <c r="F7" s="9">
        <f>F6*Assumptions!$B$6</f>
        <v/>
      </c>
    </row>
    <row r="8">
      <c r="A8" t="inlineStr">
        <is>
          <t>SG&amp;A</t>
        </is>
      </c>
      <c r="B8" s="9">
        <f>Assumptions!$B$7*4</f>
        <v/>
      </c>
      <c r="C8" s="9">
        <f>Assumptions!$B$7*4</f>
        <v/>
      </c>
      <c r="D8" s="9">
        <f>Assumptions!$B$7*4</f>
        <v/>
      </c>
      <c r="E8" s="9">
        <f>Assumptions!$B$7*4</f>
        <v/>
      </c>
      <c r="F8" s="9">
        <f>Assumptions!$B$7*4</f>
        <v/>
      </c>
    </row>
    <row r="9">
      <c r="A9" t="inlineStr">
        <is>
          <t>R&amp;D</t>
        </is>
      </c>
      <c r="B9" s="9">
        <f>Assumptions!$B$8*4</f>
        <v/>
      </c>
      <c r="C9" s="9">
        <f>Assumptions!$B$8*4</f>
        <v/>
      </c>
      <c r="D9" s="9">
        <f>Assumptions!$B$8*4</f>
        <v/>
      </c>
      <c r="E9" s="9">
        <f>Assumptions!$B$8*4</f>
        <v/>
      </c>
      <c r="F9" s="9">
        <f>Assumptions!$B$8*4</f>
        <v/>
      </c>
    </row>
    <row r="10">
      <c r="A10" s="4" t="inlineStr">
        <is>
          <t>EBIT</t>
        </is>
      </c>
      <c r="B10" s="12">
        <f>B7-B8-B9</f>
        <v/>
      </c>
      <c r="C10" s="12">
        <f>C7-C8-C9</f>
        <v/>
      </c>
      <c r="D10" s="12">
        <f>D7-D8-D9</f>
        <v/>
      </c>
      <c r="E10" s="12">
        <f>E7-E8-E9</f>
        <v/>
      </c>
      <c r="F10" s="12">
        <f>F7-F8-F9</f>
        <v/>
      </c>
    </row>
    <row r="11">
      <c r="A11" t="inlineStr">
        <is>
          <t>EBIT margin</t>
        </is>
      </c>
      <c r="B11" s="11">
        <f>IFERROR(B10/B6,0)</f>
        <v/>
      </c>
      <c r="C11" s="11">
        <f>IFERROR(C10/C6,0)</f>
        <v/>
      </c>
      <c r="D11" s="11">
        <f>IFERROR(D10/D6,0)</f>
        <v/>
      </c>
      <c r="E11" s="11">
        <f>IFERROR(E10/E6,0)</f>
        <v/>
      </c>
      <c r="F11" s="11">
        <f>IFERROR(F10/F6,0)</f>
        <v/>
      </c>
    </row>
    <row r="13">
      <c r="A13" t="inlineStr">
        <is>
          <t>Taxable income</t>
        </is>
      </c>
      <c r="B13" s="9">
        <f>NOL!B14</f>
        <v/>
      </c>
      <c r="C13" s="9">
        <f>NOL!C14</f>
        <v/>
      </c>
      <c r="D13" s="9">
        <f>NOL!D14</f>
        <v/>
      </c>
      <c r="E13" s="9">
        <f>NOL!E14</f>
        <v/>
      </c>
      <c r="F13" s="9">
        <f>NOL!F14</f>
        <v/>
      </c>
    </row>
    <row r="14">
      <c r="A14" t="inlineStr">
        <is>
          <t>less NOL used</t>
        </is>
      </c>
      <c r="B14" s="9">
        <f>-NOL!B16</f>
        <v/>
      </c>
      <c r="C14" s="9">
        <f>-NOL!C16</f>
        <v/>
      </c>
      <c r="D14" s="9">
        <f>-NOL!D16</f>
        <v/>
      </c>
      <c r="E14" s="9">
        <f>-NOL!E16</f>
        <v/>
      </c>
      <c r="F14" s="9">
        <f>-NOL!F16</f>
        <v/>
      </c>
    </row>
    <row r="15">
      <c r="A15" t="inlineStr">
        <is>
          <t>Taxable after NOL</t>
        </is>
      </c>
      <c r="B15" s="9">
        <f>NOL!B19</f>
        <v/>
      </c>
      <c r="C15" s="9">
        <f>NOL!C19</f>
        <v/>
      </c>
      <c r="D15" s="9">
        <f>NOL!D19</f>
        <v/>
      </c>
      <c r="E15" s="9">
        <f>NOL!E19</f>
        <v/>
      </c>
      <c r="F15" s="9">
        <f>NOL!F19</f>
        <v/>
      </c>
    </row>
    <row r="16">
      <c r="A16" t="inlineStr">
        <is>
          <t>Tax at statutory</t>
        </is>
      </c>
      <c r="B16" s="9">
        <f>NOL!B20</f>
        <v/>
      </c>
      <c r="C16" s="9">
        <f>NOL!C20</f>
        <v/>
      </c>
      <c r="D16" s="9">
        <f>NOL!D20</f>
        <v/>
      </c>
      <c r="E16" s="9">
        <f>NOL!E20</f>
        <v/>
      </c>
      <c r="F16" s="9">
        <f>NOL!F20</f>
        <v/>
      </c>
    </row>
    <row r="17">
      <c r="A17" t="inlineStr">
        <is>
          <t>Minimum tax floor (최저한세)</t>
        </is>
      </c>
      <c r="B17" s="9">
        <f>NOL!B21</f>
        <v/>
      </c>
      <c r="C17" s="9">
        <f>NOL!C21</f>
        <v/>
      </c>
      <c r="D17" s="9">
        <f>NOL!D21</f>
        <v/>
      </c>
      <c r="E17" s="9">
        <f>NOL!E21</f>
        <v/>
      </c>
      <c r="F17" s="9">
        <f>NOL!F21</f>
        <v/>
      </c>
      <c r="H17" s="6" t="inlineStr">
        <is>
          <t>A FLOOR on credit usage, not a cap on tax. Applies to the base AFTER the NOL deduction.</t>
        </is>
      </c>
    </row>
    <row r="18">
      <c r="A18" t="inlineStr">
        <is>
          <t>less credits used</t>
        </is>
      </c>
      <c r="B18" s="9">
        <f>-NOL!B23</f>
        <v/>
      </c>
      <c r="C18" s="9">
        <f>-NOL!C23</f>
        <v/>
      </c>
      <c r="D18" s="9">
        <f>-NOL!D23</f>
        <v/>
      </c>
      <c r="E18" s="9">
        <f>-NOL!E23</f>
        <v/>
      </c>
      <c r="F18" s="9">
        <f>-NOL!F23</f>
        <v/>
      </c>
      <c r="H18" s="6" t="inlineStr">
        <is>
          <t>4.61bn pool; offsets tax only down to the floor.</t>
        </is>
      </c>
    </row>
    <row r="19">
      <c r="A19" s="4" t="inlineStr">
        <is>
          <t>Cash tax</t>
        </is>
      </c>
      <c r="B19" s="12">
        <f>MAX(B16-NOL!B23,0)</f>
        <v/>
      </c>
      <c r="C19" s="12">
        <f>MAX(C16-NOL!C23,0)</f>
        <v/>
      </c>
      <c r="D19" s="12">
        <f>MAX(D16-NOL!D23,0)</f>
        <v/>
      </c>
      <c r="E19" s="12">
        <f>MAX(E16-NOL!E23,0)</f>
        <v/>
      </c>
      <c r="F19" s="12">
        <f>MAX(F16-NOL!F23,0)</f>
        <v/>
      </c>
    </row>
    <row r="20">
      <c r="A20" s="4" t="inlineStr">
        <is>
          <t>NOPAT</t>
        </is>
      </c>
      <c r="B20" s="12">
        <f>B10-B19</f>
        <v/>
      </c>
      <c r="C20" s="12">
        <f>C10-C19</f>
        <v/>
      </c>
      <c r="D20" s="12">
        <f>D10-D19</f>
        <v/>
      </c>
      <c r="E20" s="12">
        <f>E10-E19</f>
        <v/>
      </c>
      <c r="F20" s="12">
        <f>F10-F19</f>
        <v/>
      </c>
    </row>
    <row r="22">
      <c r="A22" t="inlineStr">
        <is>
          <t>add D&amp;A</t>
        </is>
      </c>
      <c r="B22" s="9">
        <f>Assumptions!$B$16</f>
        <v/>
      </c>
      <c r="C22" s="9">
        <f>Assumptions!$B$16</f>
        <v/>
      </c>
      <c r="D22" s="9">
        <f>Assumptions!$B$16</f>
        <v/>
      </c>
      <c r="E22" s="9">
        <f>Assumptions!$B$16</f>
        <v/>
      </c>
      <c r="F22" s="9">
        <f>Assumptions!$B$16</f>
        <v/>
      </c>
    </row>
    <row r="23">
      <c r="A23" t="inlineStr">
        <is>
          <t>less Capex</t>
        </is>
      </c>
      <c r="B23" s="9">
        <f>-Assumptions!$B$15</f>
        <v/>
      </c>
      <c r="C23" s="9">
        <f>-Assumptions!$B$15</f>
        <v/>
      </c>
      <c r="D23" s="9">
        <f>-Assumptions!$B$15</f>
        <v/>
      </c>
      <c r="E23" s="9">
        <f>-Assumptions!$B$15</f>
        <v/>
      </c>
      <c r="F23" s="9">
        <f>-Assumptions!$B$15</f>
        <v/>
      </c>
    </row>
    <row r="24">
      <c r="A24" t="inlineStr">
        <is>
          <t>NWC</t>
        </is>
      </c>
      <c r="B24" s="9">
        <f>B6*Assumptions!$B$12</f>
        <v/>
      </c>
      <c r="C24" s="9">
        <f>C6*Assumptions!$B$12</f>
        <v/>
      </c>
      <c r="D24" s="9">
        <f>D6*Assumptions!$B$12</f>
        <v/>
      </c>
      <c r="E24" s="9">
        <f>E6*Assumptions!$B$12</f>
        <v/>
      </c>
      <c r="F24" s="9">
        <f>F6*Assumptions!$B$12</f>
        <v/>
      </c>
    </row>
    <row r="25">
      <c r="A25" t="inlineStr">
        <is>
          <t>less change in NWC</t>
        </is>
      </c>
      <c r="B25" s="9">
        <f>-(B24-37.35)</f>
        <v/>
      </c>
      <c r="C25" s="9">
        <f>-(C24-B24)</f>
        <v/>
      </c>
      <c r="D25" s="9">
        <f>-(D24-C24)</f>
        <v/>
      </c>
      <c r="E25" s="9">
        <f>-(E24-D24)</f>
        <v/>
      </c>
      <c r="F25" s="9">
        <f>-(F24-E24)</f>
        <v/>
      </c>
      <c r="H25" s="6" t="inlineStr">
        <is>
          <t>FY25 actual NWC = 37.35bn is the opening base. THE swing factor — see README.</t>
        </is>
      </c>
    </row>
    <row r="26">
      <c r="A26" s="4" t="inlineStr">
        <is>
          <t>Free cash flow</t>
        </is>
      </c>
      <c r="B26" s="12">
        <f>B20+B22+B23+B25</f>
        <v/>
      </c>
      <c r="C26" s="12">
        <f>C20+C22+C23+C25</f>
        <v/>
      </c>
      <c r="D26" s="12">
        <f>D20+D22+D23+D25</f>
        <v/>
      </c>
      <c r="E26" s="12">
        <f>E20+E22+E23+E25</f>
        <v/>
      </c>
      <c r="F26" s="12">
        <f>F20+F22+F23+F25</f>
        <v/>
      </c>
    </row>
    <row r="27">
      <c r="A27" t="inlineStr">
        <is>
          <t>Discount factor</t>
        </is>
      </c>
      <c r="B27" s="13">
        <f>1/(1+Assumptions!$B$17)^1</f>
        <v/>
      </c>
      <c r="C27" s="13">
        <f>1/(1+Assumptions!$B$17)^2</f>
        <v/>
      </c>
      <c r="D27" s="13">
        <f>1/(1+Assumptions!$B$17)^3</f>
        <v/>
      </c>
      <c r="E27" s="13">
        <f>1/(1+Assumptions!$B$17)^4</f>
        <v/>
      </c>
      <c r="F27" s="13">
        <f>1/(1+Assumptions!$B$17)^5</f>
        <v/>
      </c>
    </row>
    <row r="28">
      <c r="A28" s="4" t="inlineStr">
        <is>
          <t>PV of FCF</t>
        </is>
      </c>
      <c r="B28" s="12">
        <f>B26*B27</f>
        <v/>
      </c>
      <c r="C28" s="12">
        <f>C26*C27</f>
        <v/>
      </c>
      <c r="D28" s="12">
        <f>D26*D27</f>
        <v/>
      </c>
      <c r="E28" s="12">
        <f>E26*E27</f>
        <v/>
      </c>
      <c r="F28" s="12">
        <f>F26*F27</f>
        <v/>
      </c>
    </row>
    <row r="30">
      <c r="A30" s="2" t="inlineStr">
        <is>
          <t>VALUATION BRIDGE</t>
        </is>
      </c>
      <c r="B30" s="3" t="n"/>
      <c r="C30" s="3" t="n"/>
      <c r="D30" s="3" t="n"/>
      <c r="E30" s="3" t="n"/>
      <c r="F30" s="3" t="n"/>
      <c r="G30" s="3" t="n"/>
      <c r="H30" s="3" t="n"/>
    </row>
    <row r="31">
      <c r="A31" t="inlineStr">
        <is>
          <t>Sum PV of explicit FCF</t>
        </is>
      </c>
      <c r="B31" s="9">
        <f>SUM(B28:F28)</f>
        <v/>
      </c>
    </row>
    <row r="32">
      <c r="A32" t="inlineStr">
        <is>
          <t>Terminal value (Gordon)</t>
        </is>
      </c>
      <c r="B32" s="9">
        <f>F26*(1+Assumptions!$B$18)/(Assumptions!$B$17-Assumptions!$B$18)</f>
        <v/>
      </c>
      <c r="D32" s="6" t="inlineStr">
        <is>
          <t>Breaks down if terminal FCF is negative — check the FCF line before trusting this.</t>
        </is>
      </c>
    </row>
    <row r="33">
      <c r="A33" t="inlineStr">
        <is>
          <t>PV of terminal value</t>
        </is>
      </c>
      <c r="B33" s="9">
        <f>B32*F27</f>
        <v/>
      </c>
    </row>
    <row r="34">
      <c r="A34" t="inlineStr">
        <is>
          <t>TV as % of EV</t>
        </is>
      </c>
      <c r="B34" s="11">
        <f>IFERROR(B33/(B31+B33),0)</f>
        <v/>
      </c>
      <c r="D34" s="6" t="inlineStr">
        <is>
          <t>If this is &gt;80%, the DCF is an exit-multiple guess wearing a cash-flow costume.</t>
        </is>
      </c>
    </row>
    <row r="35">
      <c r="A35" s="4" t="inlineStr">
        <is>
          <t>Enterprise value</t>
        </is>
      </c>
      <c r="B35" s="12">
        <f>B31+B33</f>
        <v/>
      </c>
    </row>
    <row r="36">
      <c r="A36" t="inlineStr">
        <is>
          <t>add Investment property</t>
        </is>
      </c>
      <c r="B36" s="9">
        <f>Assumptions!$B$28</f>
        <v/>
      </c>
      <c r="D36" s="6" t="inlineStr">
        <is>
          <t>Non-operating, at book. Not a valuation.</t>
        </is>
      </c>
    </row>
    <row r="37">
      <c r="A37" t="inlineStr">
        <is>
          <t>less Net debt</t>
        </is>
      </c>
      <c r="B37" s="9">
        <f>-Assumptions!$B$27</f>
        <v/>
      </c>
    </row>
    <row r="38">
      <c r="A38" s="4" t="inlineStr">
        <is>
          <t>Equity value</t>
        </is>
      </c>
      <c r="B38" s="12">
        <f>B35+B36+B37</f>
        <v/>
      </c>
    </row>
    <row r="39">
      <c r="A39" t="inlineStr">
        <is>
          <t>Shares (M)</t>
        </is>
      </c>
      <c r="B39" s="14">
        <f>Assumptions!$B$26</f>
        <v/>
      </c>
    </row>
    <row r="40">
      <c r="A40" s="4" t="inlineStr">
        <is>
          <t>Value per share (KRW)</t>
        </is>
      </c>
      <c r="B40" s="15">
        <f>IFERROR(B38*1000/B39,0)</f>
        <v/>
      </c>
      <c r="D40" s="6" t="inlineStr">
        <is>
          <t>Excludes convertible-bond dilution (7.46bn CB outstanding).</t>
        </is>
      </c>
    </row>
    <row r="41">
      <c r="A41" t="inlineStr">
        <is>
          <t>Last traded price (KRW)</t>
        </is>
      </c>
      <c r="B41" s="16" t="n">
        <v>9140</v>
      </c>
      <c r="D41" s="6" t="inlineStr">
        <is>
          <t>45,700 on 2026-07-03 / 5 for the split. Stock SUSPENDED 07-07..07-24; not a live quote.</t>
        </is>
      </c>
    </row>
    <row r="42">
      <c r="A42" t="inlineStr">
        <is>
          <t>Upside / (downside)</t>
        </is>
      </c>
      <c r="B42" s="11">
        <f>IFERROR(B40/B41-1,0)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SENSITIVITY — value per share (KRW)</t>
        </is>
      </c>
      <c r="B1" s="3" t="n"/>
      <c r="C1" s="3" t="n"/>
      <c r="D1" s="3" t="n"/>
      <c r="E1" s="3" t="n"/>
      <c r="F1" s="3" t="n"/>
      <c r="G1" s="3" t="n"/>
      <c r="H1" s="3" t="n"/>
    </row>
    <row r="3">
      <c r="A3" s="6" t="inlineStr">
        <is>
          <t>Excel recalculates these only via Data &gt; What-If &gt; Data Table, or just change the Assumptions inputs and watch Model!B40.</t>
        </is>
      </c>
    </row>
    <row r="5">
      <c r="A5" s="6" t="inlineStr">
        <is>
          <t>The grid below is a MANUAL reference: set WACC / terminal growth on Assumptions and read the result. Automating it needs a Data Table, which openpyxl cannot emit.</t>
        </is>
      </c>
    </row>
    <row r="7">
      <c r="A7" s="4" t="inlineStr">
        <is>
          <t>WACC \ terminal g</t>
        </is>
      </c>
      <c r="B7" s="17" t="n">
        <v>0</v>
      </c>
      <c r="C7" s="17" t="n">
        <v>0.01</v>
      </c>
      <c r="D7" s="17" t="n">
        <v>0.02</v>
      </c>
      <c r="E7" s="17" t="n">
        <v>0.03</v>
      </c>
      <c r="F7" s="17" t="n">
        <v>0.04</v>
      </c>
    </row>
    <row r="8">
      <c r="A8" s="17" t="n">
        <v>0.08</v>
      </c>
      <c r="B8" s="18" t="inlineStr">
        <is>
          <t>—</t>
        </is>
      </c>
      <c r="C8" s="18" t="inlineStr">
        <is>
          <t>—</t>
        </is>
      </c>
      <c r="D8" s="18" t="inlineStr">
        <is>
          <t>—</t>
        </is>
      </c>
      <c r="E8" s="18" t="inlineStr">
        <is>
          <t>—</t>
        </is>
      </c>
      <c r="F8" s="18" t="inlineStr">
        <is>
          <t>—</t>
        </is>
      </c>
    </row>
    <row r="9">
      <c r="A9" s="17" t="n">
        <v>0.1</v>
      </c>
      <c r="B9" s="18" t="inlineStr">
        <is>
          <t>—</t>
        </is>
      </c>
      <c r="C9" s="18" t="inlineStr">
        <is>
          <t>—</t>
        </is>
      </c>
      <c r="D9" s="18" t="inlineStr">
        <is>
          <t>—</t>
        </is>
      </c>
      <c r="E9" s="18" t="inlineStr">
        <is>
          <t>—</t>
        </is>
      </c>
      <c r="F9" s="18" t="inlineStr">
        <is>
          <t>—</t>
        </is>
      </c>
    </row>
    <row r="10">
      <c r="A10" s="17" t="n">
        <v>0.12</v>
      </c>
      <c r="B10" s="18" t="inlineStr">
        <is>
          <t>—</t>
        </is>
      </c>
      <c r="C10" s="18" t="inlineStr">
        <is>
          <t>—</t>
        </is>
      </c>
      <c r="D10" s="18" t="inlineStr">
        <is>
          <t>—</t>
        </is>
      </c>
      <c r="E10" s="18" t="inlineStr">
        <is>
          <t>—</t>
        </is>
      </c>
      <c r="F10" s="18" t="inlineStr">
        <is>
          <t>—</t>
        </is>
      </c>
    </row>
    <row r="11">
      <c r="A11" s="17" t="n">
        <v>0.14</v>
      </c>
      <c r="B11" s="18" t="inlineStr">
        <is>
          <t>—</t>
        </is>
      </c>
      <c r="C11" s="18" t="inlineStr">
        <is>
          <t>—</t>
        </is>
      </c>
      <c r="D11" s="18" t="inlineStr">
        <is>
          <t>—</t>
        </is>
      </c>
      <c r="E11" s="18" t="inlineStr">
        <is>
          <t>—</t>
        </is>
      </c>
      <c r="F11" s="18" t="inlineStr">
        <is>
          <t>—</t>
        </is>
      </c>
    </row>
    <row r="12">
      <c r="A12" s="17" t="n">
        <v>0.16</v>
      </c>
      <c r="B12" s="18" t="inlineStr">
        <is>
          <t>—</t>
        </is>
      </c>
      <c r="C12" s="18" t="inlineStr">
        <is>
          <t>—</t>
        </is>
      </c>
      <c r="D12" s="18" t="inlineStr">
        <is>
          <t>—</t>
        </is>
      </c>
      <c r="E12" s="18" t="inlineStr">
        <is>
          <t>—</t>
        </is>
      </c>
      <c r="F12" s="18" t="inlineStr">
        <is>
          <t>—</t>
        </is>
      </c>
    </row>
    <row r="14">
      <c r="A14" s="6" t="inlineStr">
        <is>
          <t>Terminal value will likely be most of EV. Before reading any number above as a fair value, check Model!B34 (TV as % of EV) and confirm terminal FCF is positive — if WC is still building at the terminal year, Gordon growth on a negative FCF produces a meaningless negative TV.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2026-07-16T19:55:41Z</dcterms:created>
  <dcterms:modified xmlns:dcterms="http://purl.org/dc/terms/" xmlns:xsi="http://www.w3.org/2001/XMLSchema-instance" xsi:type="dcterms:W3CDTF">2026-07-16T19:55:41Z</dcterms:modified>
</cp:coreProperties>
</file>